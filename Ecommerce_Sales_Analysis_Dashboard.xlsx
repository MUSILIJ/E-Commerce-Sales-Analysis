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sil\Downloads\my project csv files\"/>
    </mc:Choice>
  </mc:AlternateContent>
  <xr:revisionPtr revIDLastSave="0" documentId="13_ncr:1_{778DB985-7F0F-4EB9-9939-8C01F5FB6522}" xr6:coauthVersionLast="47" xr6:coauthVersionMax="47" xr10:uidLastSave="{00000000-0000-0000-0000-000000000000}"/>
  <bookViews>
    <workbookView xWindow="-120" yWindow="-120" windowWidth="20730" windowHeight="11760" xr2:uid="{11F95FC4-EA50-4920-ADAD-8F5AFD0B56ED}"/>
  </bookViews>
  <sheets>
    <sheet name="DASHBOARD" sheetId="1" r:id="rId1"/>
    <sheet name="OVERALL SUMMARY" sheetId="2" r:id="rId2"/>
    <sheet name="MONTHLY SALES" sheetId="3" r:id="rId3"/>
    <sheet name="SALES BY PRODUCT" sheetId="4" r:id="rId4"/>
    <sheet name="TOP PRODUCTS" sheetId="5" r:id="rId5"/>
    <sheet name="SALES BY CATEGORY" sheetId="6" r:id="rId6"/>
    <sheet name="SALES BY CITY" sheetId="7" r:id="rId7"/>
    <sheet name="TOP CUSTOMERS" sheetId="8" r:id="rId8"/>
  </sheets>
  <definedNames>
    <definedName name="ExternalData_1" localSheetId="2" hidden="1">'MONTHLY SALES'!$A$1:$B$3</definedName>
    <definedName name="ExternalData_1" localSheetId="1" hidden="1">'OVERALL SUMMARY'!$A$1:$E$2</definedName>
    <definedName name="ExternalData_1" localSheetId="5" hidden="1">'SALES BY CATEGORY'!$A$1:$B$5</definedName>
    <definedName name="ExternalData_1" localSheetId="6" hidden="1">'SALES BY CITY'!$A$1:$B$6</definedName>
    <definedName name="ExternalData_1" localSheetId="3" hidden="1">'SALES BY PRODUCT'!$A$1:$B$11</definedName>
    <definedName name="ExternalData_1" localSheetId="7" hidden="1">'TOP CUSTOMERS'!$A$1:$B$11</definedName>
    <definedName name="ExternalData_1" localSheetId="4" hidden="1">'TOP PRODUCTS'!$A$1:$B$11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1" l="1"/>
  <c r="E5" i="1"/>
  <c r="C5" i="1"/>
  <c r="A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E089C2-A355-42E1-B9E3-EC8D063BE9C1}" keepAlive="1" name="Query - monthly_sales" description="Connection to the 'monthly_sales' query in the workbook." type="5" refreshedVersion="7" background="1" saveData="1">
    <dbPr connection="Provider=Microsoft.Mashup.OleDb.1;Data Source=$Workbook$;Location=monthly_sales;Extended Properties=&quot;&quot;" command="SELECT * FROM [monthly_sales]"/>
  </connection>
  <connection id="2" xr16:uid="{76DFA2A9-6F4F-42E0-879B-C30F47F8014B}" keepAlive="1" name="Query - overall_sales_summary" description="Connection to the 'overall_sales_summary' query in the workbook." type="5" refreshedVersion="0" background="1">
    <dbPr connection="Provider=Microsoft.Mashup.OleDb.1;Data Source=$Workbook$;Location=overall_sales_summary;Extended Properties=&quot;&quot;" command="SELECT * FROM [overall_sales_summary]"/>
  </connection>
  <connection id="3" xr16:uid="{4928867A-33CD-4FD6-9C37-717D9CF404E4}" keepAlive="1" name="Query - overall_sales_summary (2)" description="Connection to the 'overall_sales_summary (2)' query in the workbook." type="5" refreshedVersion="0" background="1">
    <dbPr connection="Provider=Microsoft.Mashup.OleDb.1;Data Source=$Workbook$;Location=&quot;overall_sales_summary (2)&quot;;Extended Properties=&quot;&quot;" command="SELECT * FROM [overall_sales_summary (2)]"/>
  </connection>
  <connection id="4" xr16:uid="{E022BAAD-E5DB-4F22-80E7-F7E67CD60E03}" keepAlive="1" name="Query - overall_sales_summary (3)" description="Connection to the 'overall_sales_summary (3)' query in the workbook." type="5" refreshedVersion="7" background="1" saveData="1">
    <dbPr connection="Provider=Microsoft.Mashup.OleDb.1;Data Source=$Workbook$;Location=&quot;overall_sales_summary (3)&quot;;Extended Properties=&quot;&quot;" command="SELECT * FROM [overall_sales_summary (3)]"/>
  </connection>
  <connection id="5" xr16:uid="{ADFE88DB-094D-478C-85AD-D8145C790938}" keepAlive="1" name="Query - sales_by_category" description="Connection to the 'sales_by_category' query in the workbook." type="5" refreshedVersion="7" background="1" saveData="1">
    <dbPr connection="Provider=Microsoft.Mashup.OleDb.1;Data Source=$Workbook$;Location=sales_by_category;Extended Properties=&quot;&quot;" command="SELECT * FROM [sales_by_category]"/>
  </connection>
  <connection id="6" xr16:uid="{43C2A27B-D94E-4E4E-B9F7-6E6C9E747E46}" keepAlive="1" name="Query - sales_by_city" description="Connection to the 'sales_by_city' query in the workbook." type="5" refreshedVersion="7" background="1" saveData="1">
    <dbPr connection="Provider=Microsoft.Mashup.OleDb.1;Data Source=$Workbook$;Location=sales_by_city;Extended Properties=&quot;&quot;" command="SELECT * FROM [sales_by_city]"/>
  </connection>
  <connection id="7" xr16:uid="{9D882B9B-63D1-4E2B-9C4B-716DF6780F93}" keepAlive="1" name="Query - sales_by_product" description="Connection to the 'sales_by_product' query in the workbook." type="5" refreshedVersion="7" background="1" saveData="1">
    <dbPr connection="Provider=Microsoft.Mashup.OleDb.1;Data Source=$Workbook$;Location=sales_by_product;Extended Properties=&quot;&quot;" command="SELECT * FROM [sales_by_product]"/>
  </connection>
  <connection id="8" xr16:uid="{E5C3FDB2-BF8E-4EEE-82DA-14BFF59D487F}" keepAlive="1" name="Query - top_customers" description="Connection to the 'top_customers' query in the workbook." type="5" refreshedVersion="7" background="1" saveData="1">
    <dbPr connection="Provider=Microsoft.Mashup.OleDb.1;Data Source=$Workbook$;Location=top_customers;Extended Properties=&quot;&quot;" command="SELECT * FROM [top_customers]"/>
  </connection>
  <connection id="9" xr16:uid="{FE7D7E29-A500-442C-94D0-4B3D114C90D4}" keepAlive="1" name="Query - top_selling_products" description="Connection to the 'top_selling_products' query in the workbook." type="5" refreshedVersion="7" background="1" saveData="1">
    <dbPr connection="Provider=Microsoft.Mashup.OleDb.1;Data Source=$Workbook$;Location=top_selling_products;Extended Properties=&quot;&quot;" command="SELECT * FROM [top_selling_products]"/>
  </connection>
</connections>
</file>

<file path=xl/sharedStrings.xml><?xml version="1.0" encoding="utf-8"?>
<sst xmlns="http://schemas.openxmlformats.org/spreadsheetml/2006/main" count="62" uniqueCount="48">
  <si>
    <t>total_orders</t>
  </si>
  <si>
    <t>total_customers</t>
  </si>
  <si>
    <t>total_units_sold</t>
  </si>
  <si>
    <t>total_revenue</t>
  </si>
  <si>
    <t>average_line_revenue</t>
  </si>
  <si>
    <t>month</t>
  </si>
  <si>
    <t>total_sales</t>
  </si>
  <si>
    <t>product_name</t>
  </si>
  <si>
    <t>Laptop</t>
  </si>
  <si>
    <t>Smartphone</t>
  </si>
  <si>
    <t>Office Chair</t>
  </si>
  <si>
    <t>External Hard Drive</t>
  </si>
  <si>
    <t>Desk</t>
  </si>
  <si>
    <t>Wireless Headphones</t>
  </si>
  <si>
    <t>Running Shoes</t>
  </si>
  <si>
    <t>Smart Watch</t>
  </si>
  <si>
    <t>Backpack</t>
  </si>
  <si>
    <t>USB Flash Drive</t>
  </si>
  <si>
    <t>units_sold</t>
  </si>
  <si>
    <t>category</t>
  </si>
  <si>
    <t>Electronics</t>
  </si>
  <si>
    <t>Furniture</t>
  </si>
  <si>
    <t>Accessories</t>
  </si>
  <si>
    <t>Fashion</t>
  </si>
  <si>
    <t>city</t>
  </si>
  <si>
    <t>Nairobi</t>
  </si>
  <si>
    <t>Kisumu</t>
  </si>
  <si>
    <t>Mombasa</t>
  </si>
  <si>
    <t>Eldoret</t>
  </si>
  <si>
    <t>Nakuru</t>
  </si>
  <si>
    <t>customer_name</t>
  </si>
  <si>
    <t>total_spent</t>
  </si>
  <si>
    <t>John Kamau</t>
  </si>
  <si>
    <t>David Mwangi</t>
  </si>
  <si>
    <t>Brian Otieno</t>
  </si>
  <si>
    <t>Mary Wanjiku</t>
  </si>
  <si>
    <t>Kevin Ochieng</t>
  </si>
  <si>
    <t>Faith Wambui</t>
  </si>
  <si>
    <t>Lucy Atieno</t>
  </si>
  <si>
    <t>Ann Njeri</t>
  </si>
  <si>
    <t>Samuel Kiptoo</t>
  </si>
  <si>
    <t>Grace Achieng</t>
  </si>
  <si>
    <t>E-COMMERCE SALES ANALYSIS DASHBOARD</t>
  </si>
  <si>
    <t>Sales Performance Overview — 2025</t>
  </si>
  <si>
    <t>TOTAL REVENUE</t>
  </si>
  <si>
    <t>TOTAL ORDERS</t>
  </si>
  <si>
    <t>TOTAL CUSTOMERS</t>
  </si>
  <si>
    <t>TOTAL 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</si>
</sst>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KES]\ #,##0.00"/>
  </numFmts>
  <fonts count="5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4" fontId="0" fillId="0" borderId="8" xfId="0" applyNumberFormat="1" applyBorder="1"/>
    <xf numFmtId="0" fontId="0" fillId="0" borderId="9" xfId="0" applyBorder="1"/>
    <xf numFmtId="14" fontId="0" fillId="0" borderId="5" xfId="0" applyNumberFormat="1" applyBorder="1"/>
    <xf numFmtId="0" fontId="0" fillId="0" borderId="0" xfId="0" applyNumberFormat="1"/>
    <xf numFmtId="0" fontId="2" fillId="0" borderId="0" xfId="0" applyFon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m/d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SALES'!$B$1</c:f>
              <c:strCache>
                <c:ptCount val="1"/>
                <c:pt idx="0">
                  <c:v>total_sales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'MONTHLY SALES'!$A$2:$A$3</c:f>
              <c:numCache>
                <c:formatCode>m/d/yyyy</c:formatCode>
                <c:ptCount val="2"/>
                <c:pt idx="0">
                  <c:v>45748</c:v>
                </c:pt>
                <c:pt idx="1">
                  <c:v>45778</c:v>
                </c:pt>
              </c:numCache>
            </c:numRef>
          </c:cat>
          <c:val>
            <c:numRef>
              <c:f>'MONTHLY SALES'!$B$2:$B$3</c:f>
              <c:numCache>
                <c:formatCode>General</c:formatCode>
                <c:ptCount val="2"/>
                <c:pt idx="0">
                  <c:v>393500</c:v>
                </c:pt>
                <c:pt idx="1">
                  <c:v>206300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26-4539-99D8-EA1582D39CB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32751983"/>
        <c:axId val="732751567"/>
      </c:lineChart>
      <c:dateAx>
        <c:axId val="73275198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51567"/>
        <c:crosses val="autoZero"/>
        <c:auto val="1"/>
        <c:lblOffset val="100"/>
        <c:baseTimeUnit val="months"/>
      </c:dateAx>
      <c:valAx>
        <c:axId val="73275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51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PRODUCT'!$B$1</c:f>
              <c:strCache>
                <c:ptCount val="1"/>
                <c:pt idx="0">
                  <c:v>total_revenue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BY PRODUCT'!$A$2:$A$11</c:f>
              <c:strCache>
                <c:ptCount val="10"/>
                <c:pt idx="0">
                  <c:v>Laptop</c:v>
                </c:pt>
                <c:pt idx="1">
                  <c:v>Smartphone</c:v>
                </c:pt>
                <c:pt idx="2">
                  <c:v>Office Chair</c:v>
                </c:pt>
                <c:pt idx="3">
                  <c:v>External Hard Drive</c:v>
                </c:pt>
                <c:pt idx="4">
                  <c:v>Desk</c:v>
                </c:pt>
                <c:pt idx="5">
                  <c:v>Wireless Headphones</c:v>
                </c:pt>
                <c:pt idx="6">
                  <c:v>Running Shoes</c:v>
                </c:pt>
                <c:pt idx="7">
                  <c:v>Smart Watch</c:v>
                </c:pt>
                <c:pt idx="8">
                  <c:v>Backpack</c:v>
                </c:pt>
                <c:pt idx="9">
                  <c:v>USB Flash Drive</c:v>
                </c:pt>
              </c:strCache>
            </c:strRef>
          </c:cat>
          <c:val>
            <c:numRef>
              <c:f>'SALES BY PRODUCT'!$B$2:$B$11</c:f>
              <c:numCache>
                <c:formatCode>General</c:formatCode>
                <c:ptCount val="10"/>
                <c:pt idx="0">
                  <c:v>225000</c:v>
                </c:pt>
                <c:pt idx="1">
                  <c:v>135000</c:v>
                </c:pt>
                <c:pt idx="2">
                  <c:v>48000</c:v>
                </c:pt>
                <c:pt idx="3">
                  <c:v>38000</c:v>
                </c:pt>
                <c:pt idx="4">
                  <c:v>36000</c:v>
                </c:pt>
                <c:pt idx="5">
                  <c:v>32500</c:v>
                </c:pt>
                <c:pt idx="6">
                  <c:v>28000</c:v>
                </c:pt>
                <c:pt idx="7">
                  <c:v>25500</c:v>
                </c:pt>
                <c:pt idx="8">
                  <c:v>21000</c:v>
                </c:pt>
                <c:pt idx="9">
                  <c:v>10800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21-4737-9593-48E4EB7BA0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48384271"/>
        <c:axId val="1848378031"/>
      </c:barChart>
      <c:catAx>
        <c:axId val="184838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378031"/>
        <c:crosses val="autoZero"/>
        <c:auto val="1"/>
        <c:lblAlgn val="ctr"/>
        <c:lblOffset val="100"/>
        <c:noMultiLvlLbl val="0"/>
      </c:catAx>
      <c:valAx>
        <c:axId val="184837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8384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Top-Selling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PRODUCTS'!$B$1</c:f>
              <c:strCache>
                <c:ptCount val="1"/>
                <c:pt idx="0">
                  <c:v>units_sold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'TOP PRODUCTS'!$A$2:$A$11</c:f>
              <c:strCache>
                <c:ptCount val="10"/>
                <c:pt idx="0">
                  <c:v>Backpack</c:v>
                </c:pt>
                <c:pt idx="1">
                  <c:v>USB Flash Drive</c:v>
                </c:pt>
                <c:pt idx="2">
                  <c:v>Wireless Headphones</c:v>
                </c:pt>
                <c:pt idx="3">
                  <c:v>Office Chair</c:v>
                </c:pt>
                <c:pt idx="4">
                  <c:v>Running Shoes</c:v>
                </c:pt>
                <c:pt idx="5">
                  <c:v>External Hard Drive</c:v>
                </c:pt>
                <c:pt idx="6">
                  <c:v>Laptop</c:v>
                </c:pt>
                <c:pt idx="7">
                  <c:v>Smartphone</c:v>
                </c:pt>
                <c:pt idx="8">
                  <c:v>Smart Watch</c:v>
                </c:pt>
                <c:pt idx="9">
                  <c:v>Desk</c:v>
                </c:pt>
              </c:strCache>
            </c:strRef>
          </c:cat>
          <c:val>
            <c:numRef>
              <c:f>'TOP PRODUCTS'!$B$2:$B$11</c:f>
              <c:numCache>
                <c:formatCode>General</c:formatCode>
                <c:ptCount val="10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0B-4509-9132-4E374B2C9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735978863"/>
        <c:axId val="735980111"/>
      </c:barChart>
      <c:catAx>
        <c:axId val="735978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980111"/>
        <c:crosses val="autoZero"/>
        <c:auto val="1"/>
        <c:lblAlgn val="ctr"/>
        <c:lblOffset val="100"/>
        <c:noMultiLvlLbl val="0"/>
      </c:catAx>
      <c:valAx>
        <c:axId val="73598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5978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'SALES BY CATEGORY'!$B$1</c:f>
              <c:strCache>
                <c:ptCount val="1"/>
                <c:pt idx="0">
                  <c:v>total_revenue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8F1-42AC-9CCF-01296B1BAF1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8F1-42AC-9CCF-01296B1BAF1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8F1-42AC-9CCF-01296B1BAF11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88F1-42AC-9CCF-01296B1BAF11}"/>
              </c:ext>
            </c:extLst>
          </c:dPt>
          <c:cat>
            <c:strRef>
              <c:f>'SALES BY CATEGORY'!$A$2:$A$5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Accessories</c:v>
                </c:pt>
                <c:pt idx="3">
                  <c:v>Fashion</c:v>
                </c:pt>
              </c:strCache>
            </c:strRef>
          </c:cat>
          <c:val>
            <c:numRef>
              <c:f>'SALES BY CATEGORY'!$B$2:$B$5</c:f>
              <c:numCache>
                <c:formatCode>General</c:formatCode>
                <c:ptCount val="4"/>
                <c:pt idx="0">
                  <c:v>398000</c:v>
                </c:pt>
                <c:pt idx="1">
                  <c:v>84000</c:v>
                </c:pt>
                <c:pt idx="2">
                  <c:v>68800</c:v>
                </c:pt>
                <c:pt idx="3">
                  <c:v>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8F1-42AC-9CCF-01296B1BA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CITY'!$B$1</c:f>
              <c:strCache>
                <c:ptCount val="1"/>
                <c:pt idx="0">
                  <c:v>total_sales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'SALES BY CITY'!$A$2:$A$6</c:f>
              <c:strCache>
                <c:ptCount val="5"/>
                <c:pt idx="0">
                  <c:v>Nairobi</c:v>
                </c:pt>
                <c:pt idx="1">
                  <c:v>Kisumu</c:v>
                </c:pt>
                <c:pt idx="2">
                  <c:v>Mombasa</c:v>
                </c:pt>
                <c:pt idx="3">
                  <c:v>Eldoret</c:v>
                </c:pt>
                <c:pt idx="4">
                  <c:v>Nakuru</c:v>
                </c:pt>
              </c:strCache>
            </c:strRef>
          </c:cat>
          <c:val>
            <c:numRef>
              <c:f>'SALES BY CITY'!$B$2:$B$6</c:f>
              <c:numCache>
                <c:formatCode>General</c:formatCode>
                <c:ptCount val="5"/>
                <c:pt idx="0">
                  <c:v>307400</c:v>
                </c:pt>
                <c:pt idx="1">
                  <c:v>143900</c:v>
                </c:pt>
                <c:pt idx="2">
                  <c:v>90000</c:v>
                </c:pt>
                <c:pt idx="3">
                  <c:v>43000</c:v>
                </c:pt>
                <c:pt idx="4">
                  <c:v>15500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98-48C2-BDA2-B290DA7E3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97412639"/>
        <c:axId val="1797411391"/>
      </c:barChart>
      <c:catAx>
        <c:axId val="179741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411391"/>
        <c:crosses val="autoZero"/>
        <c:auto val="1"/>
        <c:lblAlgn val="ctr"/>
        <c:lblOffset val="100"/>
        <c:noMultiLvlLbl val="0"/>
      </c:catAx>
      <c:valAx>
        <c:axId val="179741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412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Customers by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CUSTOMERS'!$B$1</c:f>
              <c:strCache>
                <c:ptCount val="1"/>
                <c:pt idx="0">
                  <c:v>total_spent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CUSTOMERS'!$A$2:$A$11</c:f>
              <c:strCache>
                <c:ptCount val="10"/>
                <c:pt idx="0">
                  <c:v>John Kamau</c:v>
                </c:pt>
                <c:pt idx="1">
                  <c:v>David Mwangi</c:v>
                </c:pt>
                <c:pt idx="2">
                  <c:v>Brian Otieno</c:v>
                </c:pt>
                <c:pt idx="3">
                  <c:v>Mary Wanjiku</c:v>
                </c:pt>
                <c:pt idx="4">
                  <c:v>Kevin Ochieng</c:v>
                </c:pt>
                <c:pt idx="5">
                  <c:v>Faith Wambui</c:v>
                </c:pt>
                <c:pt idx="6">
                  <c:v>Lucy Atieno</c:v>
                </c:pt>
                <c:pt idx="7">
                  <c:v>Ann Njeri</c:v>
                </c:pt>
                <c:pt idx="8">
                  <c:v>Samuel Kiptoo</c:v>
                </c:pt>
                <c:pt idx="9">
                  <c:v>Grace Achieng</c:v>
                </c:pt>
              </c:strCache>
            </c:strRef>
          </c:cat>
          <c:val>
            <c:numRef>
              <c:f>'TOP CUSTOMERS'!$B$2:$B$11</c:f>
              <c:numCache>
                <c:formatCode>General</c:formatCode>
                <c:ptCount val="10"/>
                <c:pt idx="0">
                  <c:v>152000</c:v>
                </c:pt>
                <c:pt idx="1">
                  <c:v>114500</c:v>
                </c:pt>
                <c:pt idx="2">
                  <c:v>92400</c:v>
                </c:pt>
                <c:pt idx="3">
                  <c:v>62500</c:v>
                </c:pt>
                <c:pt idx="4">
                  <c:v>51500</c:v>
                </c:pt>
                <c:pt idx="5">
                  <c:v>40900</c:v>
                </c:pt>
                <c:pt idx="6">
                  <c:v>27500</c:v>
                </c:pt>
                <c:pt idx="7">
                  <c:v>25000</c:v>
                </c:pt>
                <c:pt idx="8">
                  <c:v>18000</c:v>
                </c:pt>
                <c:pt idx="9">
                  <c:v>15500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E0-40D2-8171-60034E5FC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5600383"/>
        <c:axId val="855593727"/>
      </c:barChart>
      <c:catAx>
        <c:axId val="8556003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593727"/>
        <c:crosses val="autoZero"/>
        <c:auto val="1"/>
        <c:lblAlgn val="ctr"/>
        <c:lblOffset val="100"/>
        <c:noMultiLvlLbl val="0"/>
      </c:catAx>
      <c:valAx>
        <c:axId val="855593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60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180976</xdr:rowOff>
    </xdr:from>
    <xdr:to>
      <xdr:col>3</xdr:col>
      <xdr:colOff>609599</xdr:colOff>
      <xdr:row>20</xdr:row>
      <xdr:rowOff>9526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465634-9F2B-4EA5-9F30-8FCEB689CC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7</xdr:row>
      <xdr:rowOff>0</xdr:rowOff>
    </xdr:from>
    <xdr:to>
      <xdr:col>11</xdr:col>
      <xdr:colOff>0</xdr:colOff>
      <xdr:row>19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257967-B519-4976-8E25-1D15024A62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5</xdr:col>
      <xdr:colOff>9525</xdr:colOff>
      <xdr:row>34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69442D-E772-46BC-BA61-9D953B03E7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11</xdr:col>
      <xdr:colOff>9525</xdr:colOff>
      <xdr:row>34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834A0C5-2316-4F0C-B480-1686EC9AEB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5</xdr:col>
      <xdr:colOff>0</xdr:colOff>
      <xdr:row>49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9F056F5-7555-46B7-975D-FEA9C359D3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36</xdr:row>
      <xdr:rowOff>0</xdr:rowOff>
    </xdr:from>
    <xdr:to>
      <xdr:col>11</xdr:col>
      <xdr:colOff>0</xdr:colOff>
      <xdr:row>49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3DBCF41-D243-400A-BCCD-8B2205C97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7F5682A-B300-4837-9806-A378B4A472B4}" autoFormatId="16" applyNumberFormats="0" applyBorderFormats="0" applyFontFormats="0" applyPatternFormats="0" applyAlignmentFormats="0" applyWidthHeightFormats="0">
  <queryTableRefresh nextId="6">
    <queryTableFields count="5">
      <queryTableField id="1" name="total_orders" tableColumnId="1"/>
      <queryTableField id="2" name="total_customers" tableColumnId="2"/>
      <queryTableField id="3" name="total_units_sold" tableColumnId="3"/>
      <queryTableField id="4" name="total_revenue" tableColumnId="4"/>
      <queryTableField id="5" name="average_line_revenu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4354EC1-FFDB-452F-B5DE-EE120AEEF652}" autoFormatId="16" applyNumberFormats="0" applyBorderFormats="0" applyFontFormats="0" applyPatternFormats="0" applyAlignmentFormats="0" applyWidthHeightFormats="0">
  <queryTableRefresh nextId="3">
    <queryTableFields count="2">
      <queryTableField id="1" name="month" tableColumnId="1"/>
      <queryTableField id="2" name="total_sales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A070B245-8791-4D29-ABA0-72C1676F81DA}" autoFormatId="16" applyNumberFormats="0" applyBorderFormats="0" applyFontFormats="0" applyPatternFormats="0" applyAlignmentFormats="0" applyWidthHeightFormats="0">
  <queryTableRefresh nextId="3">
    <queryTableFields count="2">
      <queryTableField id="1" name="product_name" tableColumnId="1"/>
      <queryTableField id="2" name="total_revenu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9F10735B-17BD-4B44-83FF-A186D9E94C36}" autoFormatId="16" applyNumberFormats="0" applyBorderFormats="0" applyFontFormats="0" applyPatternFormats="0" applyAlignmentFormats="0" applyWidthHeightFormats="0">
  <queryTableRefresh nextId="3">
    <queryTableFields count="2">
      <queryTableField id="1" name="product_name" tableColumnId="1"/>
      <queryTableField id="2" name="units_sold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6EB896D-355A-4C33-A315-A2D3418D365D}" autoFormatId="16" applyNumberFormats="0" applyBorderFormats="0" applyFontFormats="0" applyPatternFormats="0" applyAlignmentFormats="0" applyWidthHeightFormats="0">
  <queryTableRefresh nextId="3">
    <queryTableFields count="2">
      <queryTableField id="1" name="category" tableColumnId="1"/>
      <queryTableField id="2" name="total_revenue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57661B0-0EFE-4AE9-B431-79C0EFF93F00}" autoFormatId="16" applyNumberFormats="0" applyBorderFormats="0" applyFontFormats="0" applyPatternFormats="0" applyAlignmentFormats="0" applyWidthHeightFormats="0">
  <queryTableRefresh nextId="3">
    <queryTableFields count="2">
      <queryTableField id="1" name="city" tableColumnId="1"/>
      <queryTableField id="2" name="total_sales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975CC96A-BA8D-4132-BCB6-15A9E66A0CA0}" autoFormatId="16" applyNumberFormats="0" applyBorderFormats="0" applyFontFormats="0" applyPatternFormats="0" applyAlignmentFormats="0" applyWidthHeightFormats="0">
  <queryTableRefresh nextId="3">
    <queryTableFields count="2">
      <queryTableField id="1" name="customer_name" tableColumnId="1"/>
      <queryTableField id="2" name="total_spen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878F34-81F9-43FD-8B67-2A4FAD4F1B1F}" name="overall_sales_summary__3" displayName="overall_sales_summary__3" ref="A1:E2" tableType="queryTable" totalsRowShown="0" headerRowDxfId="19" headerRowBorderDxfId="18" tableBorderDxfId="17" totalsRowBorderDxfId="16">
  <autoFilter ref="A1:E2" xr:uid="{A3878F34-81F9-43FD-8B67-2A4FAD4F1B1F}"/>
  <tableColumns count="5">
    <tableColumn id="1" xr3:uid="{DA54F53E-1ACF-4F46-B352-AEACDF9C05FB}" uniqueName="1" name="total_orders" queryTableFieldId="1" dataDxfId="15"/>
    <tableColumn id="2" xr3:uid="{DFFE1CEB-E3B3-4D27-A225-B5F91A9DABFA}" uniqueName="2" name="total_customers" queryTableFieldId="2" dataDxfId="14"/>
    <tableColumn id="3" xr3:uid="{C9B75726-FD08-48F0-B238-AAD594193F72}" uniqueName="3" name="total_units_sold" queryTableFieldId="3" dataDxfId="13"/>
    <tableColumn id="4" xr3:uid="{6042F7D0-FE51-4E53-9450-65C321F38B27}" uniqueName="4" name="total_revenue" queryTableFieldId="4" dataDxfId="12"/>
    <tableColumn id="5" xr3:uid="{DECF773D-6910-4B50-AB23-D8D5CD192D8B}" uniqueName="5" name="average_line_revenue" queryTableFieldId="5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372337-93C6-44F3-824C-406A32753964}" name="monthly_sales" displayName="monthly_sales" ref="A1:B3" tableType="queryTable" totalsRowShown="0" headerRowDxfId="10" headerRowBorderDxfId="9" tableBorderDxfId="8" totalsRowBorderDxfId="7">
  <autoFilter ref="A1:B3" xr:uid="{3A372337-93C6-44F3-824C-406A32753964}"/>
  <tableColumns count="2">
    <tableColumn id="1" xr3:uid="{2FB730BD-9215-475E-BCFD-45AB168957D5}" uniqueName="1" name="month" queryTableFieldId="1" dataDxfId="6"/>
    <tableColumn id="2" xr3:uid="{B990B3E2-58D6-4E86-ABC5-ADD70870D0B1}" uniqueName="2" name="total_sales" queryTableFieldId="2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BB4634C-374B-41B8-BCAC-91D657B5E12B}" name="sales_by_product" displayName="sales_by_product" ref="A1:B11" tableType="queryTable" totalsRowShown="0">
  <autoFilter ref="A1:B11" xr:uid="{BBB4634C-374B-41B8-BCAC-91D657B5E12B}"/>
  <tableColumns count="2">
    <tableColumn id="1" xr3:uid="{800954AB-F5E8-4B74-8C36-ABD8DDC11509}" uniqueName="1" name="product_name" queryTableFieldId="1" dataDxfId="4"/>
    <tableColumn id="2" xr3:uid="{D5269767-BE9E-4EA8-955D-49C33F58945D}" uniqueName="2" name="total_revenue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DDD3F57-38BD-484D-9B8B-9BC46BE7E18D}" name="top_selling_products" displayName="top_selling_products" ref="A1:B11" tableType="queryTable" totalsRowShown="0">
  <autoFilter ref="A1:B11" xr:uid="{2DDD3F57-38BD-484D-9B8B-9BC46BE7E18D}"/>
  <tableColumns count="2">
    <tableColumn id="1" xr3:uid="{9F4D7DB1-8B77-4794-8D15-D1958DB08AF2}" uniqueName="1" name="product_name" queryTableFieldId="1" dataDxfId="3"/>
    <tableColumn id="2" xr3:uid="{92D5C647-78B8-4035-A421-F75B7BF98451}" uniqueName="2" name="units_sold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0237102-83CB-414E-A6A4-84C81B0FD798}" name="sales_by_category" displayName="sales_by_category" ref="A1:B5" tableType="queryTable" totalsRowShown="0">
  <autoFilter ref="A1:B5" xr:uid="{50237102-83CB-414E-A6A4-84C81B0FD798}"/>
  <tableColumns count="2">
    <tableColumn id="1" xr3:uid="{E14C5E7C-C9AE-43BB-9241-EBB90DF9AF57}" uniqueName="1" name="category" queryTableFieldId="1" dataDxfId="2"/>
    <tableColumn id="2" xr3:uid="{E738BBA1-DEB9-4D52-84EC-22C422EDC61B}" uniqueName="2" name="total_revenue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9D67CFA-EAED-4329-8014-704F972BC717}" name="sales_by_city" displayName="sales_by_city" ref="A1:B6" tableType="queryTable" totalsRowShown="0">
  <autoFilter ref="A1:B6" xr:uid="{F9D67CFA-EAED-4329-8014-704F972BC717}"/>
  <tableColumns count="2">
    <tableColumn id="1" xr3:uid="{113C92C6-5F7F-46F7-B87F-767CD85C833D}" uniqueName="1" name="city" queryTableFieldId="1" dataDxfId="1"/>
    <tableColumn id="2" xr3:uid="{43FC3770-B46B-4836-8107-08081CC85337}" uniqueName="2" name="total_sales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C235FBC-0E1E-4DB6-A47F-0CD219BD7A4F}" name="top_customers" displayName="top_customers" ref="A1:B11" tableType="queryTable" totalsRowShown="0">
  <autoFilter ref="A1:B11" xr:uid="{0C235FBC-0E1E-4DB6-A47F-0CD219BD7A4F}"/>
  <tableColumns count="2">
    <tableColumn id="1" xr3:uid="{CB42B232-2853-4DF5-865B-025F1CDE0E52}" uniqueName="1" name="customer_name" queryTableFieldId="1" dataDxfId="0"/>
    <tableColumn id="2" xr3:uid="{AFA257FA-E45C-4C0F-BCE9-EA0439D44A42}" uniqueName="2" name="total_spent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2CCC1-FFFF-4E7C-BFB2-850EE03FB5FF}">
  <dimension ref="A1:H5"/>
  <sheetViews>
    <sheetView tabSelected="1" workbookViewId="0">
      <selection activeCell="K6" sqref="K6"/>
    </sheetView>
  </sheetViews>
  <sheetFormatPr defaultRowHeight="15" x14ac:dyDescent="0.25"/>
  <cols>
    <col min="1" max="1" width="13.85546875" bestFit="1" customWidth="1"/>
    <col min="8" max="8" width="9.140625" customWidth="1"/>
  </cols>
  <sheetData>
    <row r="1" spans="1:8" ht="28.5" x14ac:dyDescent="0.45">
      <c r="A1" s="16" t="s">
        <v>42</v>
      </c>
      <c r="B1" s="16"/>
      <c r="C1" s="16"/>
      <c r="D1" s="16"/>
      <c r="E1" s="16"/>
      <c r="F1" s="16"/>
      <c r="G1" s="16"/>
      <c r="H1" s="16"/>
    </row>
    <row r="2" spans="1:8" ht="15.75" x14ac:dyDescent="0.25">
      <c r="A2" s="17" t="s">
        <v>43</v>
      </c>
      <c r="B2" s="17"/>
      <c r="C2" s="17"/>
      <c r="D2" s="17"/>
      <c r="E2" s="17"/>
      <c r="F2" s="17"/>
      <c r="G2" s="17"/>
      <c r="H2" s="17"/>
    </row>
    <row r="3" spans="1:8" ht="15.75" x14ac:dyDescent="0.25">
      <c r="A3" s="11"/>
    </row>
    <row r="4" spans="1:8" ht="24.95" customHeight="1" x14ac:dyDescent="0.25">
      <c r="A4" s="18" t="s">
        <v>44</v>
      </c>
      <c r="B4" s="19"/>
      <c r="C4" s="18" t="s">
        <v>45</v>
      </c>
      <c r="D4" s="19"/>
      <c r="E4" s="18" t="s">
        <v>46</v>
      </c>
      <c r="F4" s="19"/>
      <c r="G4" s="18" t="s">
        <v>47</v>
      </c>
      <c r="H4" s="19"/>
    </row>
    <row r="5" spans="1:8" x14ac:dyDescent="0.25">
      <c r="A5" s="12">
        <f>'OVERALL SUMMARY'!D2</f>
        <v>599800</v>
      </c>
      <c r="B5" s="13"/>
      <c r="C5" s="14">
        <f>'OVERALL SUMMARY'!A2</f>
        <v>15</v>
      </c>
      <c r="D5" s="15"/>
      <c r="E5" s="14">
        <f>'OVERALL SUMMARY'!B2</f>
        <v>10</v>
      </c>
      <c r="F5" s="15"/>
      <c r="G5" s="14">
        <f>'OVERALL SUMMARY'!C2</f>
        <v>40</v>
      </c>
      <c r="H5" s="15"/>
    </row>
  </sheetData>
  <mergeCells count="10">
    <mergeCell ref="A5:B5"/>
    <mergeCell ref="C5:D5"/>
    <mergeCell ref="E5:F5"/>
    <mergeCell ref="G5:H5"/>
    <mergeCell ref="A1:H1"/>
    <mergeCell ref="A2:H2"/>
    <mergeCell ref="A4:B4"/>
    <mergeCell ref="C4:D4"/>
    <mergeCell ref="E4:F4"/>
    <mergeCell ref="G4:H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6F9F-DE27-4B97-BC35-0775E8A42B70}">
  <dimension ref="A1:E2"/>
  <sheetViews>
    <sheetView workbookViewId="0">
      <selection activeCell="D13" sqref="D13"/>
    </sheetView>
  </sheetViews>
  <sheetFormatPr defaultRowHeight="15" x14ac:dyDescent="0.25"/>
  <cols>
    <col min="1" max="1" width="14.140625" bestFit="1" customWidth="1"/>
    <col min="2" max="3" width="17.7109375" bestFit="1" customWidth="1"/>
    <col min="4" max="4" width="16" bestFit="1" customWidth="1"/>
    <col min="5" max="5" width="23.42578125" bestFit="1" customWidth="1"/>
    <col min="12" max="12" width="14.140625" bestFit="1" customWidth="1"/>
    <col min="13" max="14" width="17.7109375" bestFit="1" customWidth="1"/>
    <col min="15" max="15" width="16" bestFit="1" customWidth="1"/>
    <col min="16" max="16" width="23.42578125" bestFit="1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5">
      <c r="A2" s="4">
        <v>15</v>
      </c>
      <c r="B2" s="5">
        <v>10</v>
      </c>
      <c r="C2" s="5">
        <v>40</v>
      </c>
      <c r="D2" s="5">
        <v>599800</v>
      </c>
      <c r="E2" s="6">
        <v>19993.330000000002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D0237-CEAA-4F06-8449-DE1ECDDD1D92}">
  <dimension ref="A1:B3"/>
  <sheetViews>
    <sheetView workbookViewId="0">
      <selection activeCell="C19" sqref="C19"/>
    </sheetView>
  </sheetViews>
  <sheetFormatPr defaultRowHeight="15" x14ac:dyDescent="0.25"/>
  <cols>
    <col min="1" max="1" width="10.7109375" bestFit="1" customWidth="1"/>
    <col min="2" max="2" width="12.85546875" bestFit="1" customWidth="1"/>
  </cols>
  <sheetData>
    <row r="1" spans="1:2" x14ac:dyDescent="0.25">
      <c r="A1" s="1" t="s">
        <v>5</v>
      </c>
      <c r="B1" s="3" t="s">
        <v>6</v>
      </c>
    </row>
    <row r="2" spans="1:2" x14ac:dyDescent="0.25">
      <c r="A2" s="7">
        <v>45748</v>
      </c>
      <c r="B2" s="8">
        <v>393500</v>
      </c>
    </row>
    <row r="3" spans="1:2" x14ac:dyDescent="0.25">
      <c r="A3" s="9">
        <v>45778</v>
      </c>
      <c r="B3" s="6">
        <v>206300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CB978-6E6D-4FE9-B71D-E06DBB448587}">
  <dimension ref="A1:B11"/>
  <sheetViews>
    <sheetView workbookViewId="0">
      <selection activeCell="F20" sqref="F20"/>
    </sheetView>
  </sheetViews>
  <sheetFormatPr defaultRowHeight="15" x14ac:dyDescent="0.25"/>
  <cols>
    <col min="1" max="1" width="20.5703125" bestFit="1" customWidth="1"/>
    <col min="2" max="2" width="16" bestFit="1" customWidth="1"/>
  </cols>
  <sheetData>
    <row r="1" spans="1:2" x14ac:dyDescent="0.25">
      <c r="A1" t="s">
        <v>7</v>
      </c>
      <c r="B1" t="s">
        <v>3</v>
      </c>
    </row>
    <row r="2" spans="1:2" x14ac:dyDescent="0.25">
      <c r="A2" s="10" t="s">
        <v>8</v>
      </c>
      <c r="B2">
        <v>225000</v>
      </c>
    </row>
    <row r="3" spans="1:2" x14ac:dyDescent="0.25">
      <c r="A3" s="10" t="s">
        <v>9</v>
      </c>
      <c r="B3">
        <v>135000</v>
      </c>
    </row>
    <row r="4" spans="1:2" x14ac:dyDescent="0.25">
      <c r="A4" s="10" t="s">
        <v>10</v>
      </c>
      <c r="B4">
        <v>48000</v>
      </c>
    </row>
    <row r="5" spans="1:2" x14ac:dyDescent="0.25">
      <c r="A5" s="10" t="s">
        <v>11</v>
      </c>
      <c r="B5">
        <v>38000</v>
      </c>
    </row>
    <row r="6" spans="1:2" x14ac:dyDescent="0.25">
      <c r="A6" s="10" t="s">
        <v>12</v>
      </c>
      <c r="B6">
        <v>36000</v>
      </c>
    </row>
    <row r="7" spans="1:2" x14ac:dyDescent="0.25">
      <c r="A7" s="10" t="s">
        <v>13</v>
      </c>
      <c r="B7">
        <v>32500</v>
      </c>
    </row>
    <row r="8" spans="1:2" x14ac:dyDescent="0.25">
      <c r="A8" s="10" t="s">
        <v>14</v>
      </c>
      <c r="B8">
        <v>28000</v>
      </c>
    </row>
    <row r="9" spans="1:2" x14ac:dyDescent="0.25">
      <c r="A9" s="10" t="s">
        <v>15</v>
      </c>
      <c r="B9">
        <v>25500</v>
      </c>
    </row>
    <row r="10" spans="1:2" x14ac:dyDescent="0.25">
      <c r="A10" s="10" t="s">
        <v>16</v>
      </c>
      <c r="B10">
        <v>21000</v>
      </c>
    </row>
    <row r="11" spans="1:2" x14ac:dyDescent="0.25">
      <c r="A11" s="10" t="s">
        <v>17</v>
      </c>
      <c r="B11">
        <v>10800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1BA0-2A48-49D1-B13F-4F92761FBD31}">
  <dimension ref="A1:B11"/>
  <sheetViews>
    <sheetView workbookViewId="0">
      <selection activeCell="L18" sqref="L18"/>
    </sheetView>
  </sheetViews>
  <sheetFormatPr defaultRowHeight="15" x14ac:dyDescent="0.25"/>
  <cols>
    <col min="1" max="1" width="20.5703125" bestFit="1" customWidth="1"/>
    <col min="2" max="2" width="12.42578125" bestFit="1" customWidth="1"/>
  </cols>
  <sheetData>
    <row r="1" spans="1:2" x14ac:dyDescent="0.25">
      <c r="A1" t="s">
        <v>7</v>
      </c>
      <c r="B1" t="s">
        <v>18</v>
      </c>
    </row>
    <row r="2" spans="1:2" x14ac:dyDescent="0.25">
      <c r="A2" s="10" t="s">
        <v>16</v>
      </c>
      <c r="B2">
        <v>6</v>
      </c>
    </row>
    <row r="3" spans="1:2" x14ac:dyDescent="0.25">
      <c r="A3" s="10" t="s">
        <v>17</v>
      </c>
      <c r="B3">
        <v>6</v>
      </c>
    </row>
    <row r="4" spans="1:2" x14ac:dyDescent="0.25">
      <c r="A4" s="10" t="s">
        <v>13</v>
      </c>
      <c r="B4">
        <v>5</v>
      </c>
    </row>
    <row r="5" spans="1:2" x14ac:dyDescent="0.25">
      <c r="A5" s="10" t="s">
        <v>10</v>
      </c>
      <c r="B5">
        <v>4</v>
      </c>
    </row>
    <row r="6" spans="1:2" x14ac:dyDescent="0.25">
      <c r="A6" s="10" t="s">
        <v>14</v>
      </c>
      <c r="B6">
        <v>4</v>
      </c>
    </row>
    <row r="7" spans="1:2" x14ac:dyDescent="0.25">
      <c r="A7" s="10" t="s">
        <v>11</v>
      </c>
      <c r="B7">
        <v>4</v>
      </c>
    </row>
    <row r="8" spans="1:2" x14ac:dyDescent="0.25">
      <c r="A8" s="10" t="s">
        <v>8</v>
      </c>
      <c r="B8">
        <v>3</v>
      </c>
    </row>
    <row r="9" spans="1:2" x14ac:dyDescent="0.25">
      <c r="A9" s="10" t="s">
        <v>9</v>
      </c>
      <c r="B9">
        <v>3</v>
      </c>
    </row>
    <row r="10" spans="1:2" x14ac:dyDescent="0.25">
      <c r="A10" s="10" t="s">
        <v>15</v>
      </c>
      <c r="B10">
        <v>3</v>
      </c>
    </row>
    <row r="11" spans="1:2" x14ac:dyDescent="0.25">
      <c r="A11" s="10" t="s">
        <v>12</v>
      </c>
      <c r="B11">
        <v>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2A857-8D06-4F34-91C3-5BBB6FF7B97A}">
  <dimension ref="A1:B5"/>
  <sheetViews>
    <sheetView workbookViewId="0">
      <selection activeCell="I16" activeCellId="1" sqref="K11 I16"/>
    </sheetView>
  </sheetViews>
  <sheetFormatPr defaultRowHeight="15" x14ac:dyDescent="0.25"/>
  <cols>
    <col min="1" max="1" width="11.28515625" bestFit="1" customWidth="1"/>
    <col min="2" max="2" width="16" bestFit="1" customWidth="1"/>
  </cols>
  <sheetData>
    <row r="1" spans="1:2" x14ac:dyDescent="0.25">
      <c r="A1" t="s">
        <v>19</v>
      </c>
      <c r="B1" t="s">
        <v>3</v>
      </c>
    </row>
    <row r="2" spans="1:2" x14ac:dyDescent="0.25">
      <c r="A2" s="10" t="s">
        <v>20</v>
      </c>
      <c r="B2">
        <v>398000</v>
      </c>
    </row>
    <row r="3" spans="1:2" x14ac:dyDescent="0.25">
      <c r="A3" s="10" t="s">
        <v>21</v>
      </c>
      <c r="B3">
        <v>84000</v>
      </c>
    </row>
    <row r="4" spans="1:2" x14ac:dyDescent="0.25">
      <c r="A4" s="10" t="s">
        <v>22</v>
      </c>
      <c r="B4">
        <v>68800</v>
      </c>
    </row>
    <row r="5" spans="1:2" x14ac:dyDescent="0.25">
      <c r="A5" s="10" t="s">
        <v>23</v>
      </c>
      <c r="B5">
        <v>49000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2D391-D94D-4645-B62C-23FC73CBA5CA}">
  <dimension ref="A1:B6"/>
  <sheetViews>
    <sheetView workbookViewId="0">
      <selection activeCell="N11" sqref="N11"/>
    </sheetView>
  </sheetViews>
  <sheetFormatPr defaultRowHeight="15" x14ac:dyDescent="0.25"/>
  <cols>
    <col min="1" max="1" width="9.5703125" bestFit="1" customWidth="1"/>
    <col min="2" max="2" width="12.85546875" bestFit="1" customWidth="1"/>
  </cols>
  <sheetData>
    <row r="1" spans="1:2" x14ac:dyDescent="0.25">
      <c r="A1" t="s">
        <v>24</v>
      </c>
      <c r="B1" t="s">
        <v>6</v>
      </c>
    </row>
    <row r="2" spans="1:2" x14ac:dyDescent="0.25">
      <c r="A2" s="10" t="s">
        <v>25</v>
      </c>
      <c r="B2">
        <v>307400</v>
      </c>
    </row>
    <row r="3" spans="1:2" x14ac:dyDescent="0.25">
      <c r="A3" s="10" t="s">
        <v>26</v>
      </c>
      <c r="B3">
        <v>143900</v>
      </c>
    </row>
    <row r="4" spans="1:2" x14ac:dyDescent="0.25">
      <c r="A4" s="10" t="s">
        <v>27</v>
      </c>
      <c r="B4">
        <v>90000</v>
      </c>
    </row>
    <row r="5" spans="1:2" x14ac:dyDescent="0.25">
      <c r="A5" s="10" t="s">
        <v>28</v>
      </c>
      <c r="B5">
        <v>43000</v>
      </c>
    </row>
    <row r="6" spans="1:2" x14ac:dyDescent="0.25">
      <c r="A6" s="10" t="s">
        <v>29</v>
      </c>
      <c r="B6">
        <v>15500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42C54-5065-4F74-8BE9-4A5D1A139326}">
  <dimension ref="A1:B11"/>
  <sheetViews>
    <sheetView workbookViewId="0">
      <selection activeCell="H20" sqref="H20"/>
    </sheetView>
  </sheetViews>
  <sheetFormatPr defaultRowHeight="15" x14ac:dyDescent="0.25"/>
  <cols>
    <col min="1" max="1" width="17.7109375" bestFit="1" customWidth="1"/>
    <col min="2" max="2" width="13.42578125" bestFit="1" customWidth="1"/>
  </cols>
  <sheetData>
    <row r="1" spans="1:2" x14ac:dyDescent="0.25">
      <c r="A1" t="s">
        <v>30</v>
      </c>
      <c r="B1" t="s">
        <v>31</v>
      </c>
    </row>
    <row r="2" spans="1:2" x14ac:dyDescent="0.25">
      <c r="A2" s="10" t="s">
        <v>32</v>
      </c>
      <c r="B2">
        <v>152000</v>
      </c>
    </row>
    <row r="3" spans="1:2" x14ac:dyDescent="0.25">
      <c r="A3" s="10" t="s">
        <v>33</v>
      </c>
      <c r="B3">
        <v>114500</v>
      </c>
    </row>
    <row r="4" spans="1:2" x14ac:dyDescent="0.25">
      <c r="A4" s="10" t="s">
        <v>34</v>
      </c>
      <c r="B4">
        <v>92400</v>
      </c>
    </row>
    <row r="5" spans="1:2" x14ac:dyDescent="0.25">
      <c r="A5" s="10" t="s">
        <v>35</v>
      </c>
      <c r="B5">
        <v>62500</v>
      </c>
    </row>
    <row r="6" spans="1:2" x14ac:dyDescent="0.25">
      <c r="A6" s="10" t="s">
        <v>36</v>
      </c>
      <c r="B6">
        <v>51500</v>
      </c>
    </row>
    <row r="7" spans="1:2" x14ac:dyDescent="0.25">
      <c r="A7" s="10" t="s">
        <v>37</v>
      </c>
      <c r="B7">
        <v>40900</v>
      </c>
    </row>
    <row r="8" spans="1:2" x14ac:dyDescent="0.25">
      <c r="A8" s="10" t="s">
        <v>38</v>
      </c>
      <c r="B8">
        <v>27500</v>
      </c>
    </row>
    <row r="9" spans="1:2" x14ac:dyDescent="0.25">
      <c r="A9" s="10" t="s">
        <v>39</v>
      </c>
      <c r="B9">
        <v>25000</v>
      </c>
    </row>
    <row r="10" spans="1:2" x14ac:dyDescent="0.25">
      <c r="A10" s="10" t="s">
        <v>40</v>
      </c>
      <c r="B10">
        <v>18000</v>
      </c>
    </row>
    <row r="11" spans="1:2" x14ac:dyDescent="0.25">
      <c r="A11" s="10" t="s">
        <v>41</v>
      </c>
      <c r="B11">
        <v>15500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757E3B-4C36-4FAD-A2A7-A0ED845F28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OVERALL SUMMARY</vt:lpstr>
      <vt:lpstr>MONTHLY SALES</vt:lpstr>
      <vt:lpstr>SALES BY PRODUCT</vt:lpstr>
      <vt:lpstr>TOP PRODUCTS</vt:lpstr>
      <vt:lpstr>SALES BY CATEGORY</vt:lpstr>
      <vt:lpstr>SALES BY CITY</vt:lpstr>
      <vt:lpstr>TOP 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Musili</dc:creator>
  <cp:lastModifiedBy>Joseph Musili</cp:lastModifiedBy>
  <dcterms:created xsi:type="dcterms:W3CDTF">2026-10-03T13:45:45Z</dcterms:created>
  <dcterms:modified xsi:type="dcterms:W3CDTF">2026-10-05T09:01:47Z</dcterms:modified>
</cp:coreProperties>
</file>